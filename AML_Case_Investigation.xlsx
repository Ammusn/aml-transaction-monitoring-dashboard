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ul\OneDrive - nwmissouri.edu\Desktop\AML_Projects\"/>
    </mc:Choice>
  </mc:AlternateContent>
  <xr:revisionPtr revIDLastSave="0" documentId="13_ncr:1_{22CE8922-467D-455C-B316-ED3D9C52D4F6}" xr6:coauthVersionLast="47" xr6:coauthVersionMax="47" xr10:uidLastSave="{00000000-0000-0000-0000-000000000000}"/>
  <bookViews>
    <workbookView xWindow="-108" yWindow="-108" windowWidth="23256" windowHeight="12456" activeTab="2" xr2:uid="{7F234B6B-1FD7-4CF2-B797-4E74D9EC8905}"/>
  </bookViews>
  <sheets>
    <sheet name="Transactions" sheetId="1" r:id="rId1"/>
    <sheet name="Case_Notes" sheetId="2" r:id="rId2"/>
    <sheet name="Dashboard" sheetId="3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<sst xmlns="http://schemas.openxmlformats.org/spreadsheetml/2006/main" count="138" uniqueCount="76">
  <si>
    <t>Case_ID</t>
  </si>
  <si>
    <t>Customer_Name</t>
  </si>
  <si>
    <t>Country</t>
  </si>
  <si>
    <t>Transaction_Date</t>
  </si>
  <si>
    <t>Amount</t>
  </si>
  <si>
    <t>Transaction_Type</t>
  </si>
  <si>
    <t>Frequency_7_Days</t>
  </si>
  <si>
    <t>KYC_Status</t>
  </si>
  <si>
    <t>Risk_Level</t>
  </si>
  <si>
    <t>Alert_Flag</t>
  </si>
  <si>
    <t>C001</t>
  </si>
  <si>
    <t>Michael Carter</t>
  </si>
  <si>
    <t>USA</t>
  </si>
  <si>
    <t>Transfer</t>
  </si>
  <si>
    <t>Complete</t>
  </si>
  <si>
    <t>Low</t>
  </si>
  <si>
    <t>No</t>
  </si>
  <si>
    <t>C002</t>
  </si>
  <si>
    <t>Arjun Mehta</t>
  </si>
  <si>
    <t>India</t>
  </si>
  <si>
    <t>Wire</t>
  </si>
  <si>
    <t>Pending</t>
  </si>
  <si>
    <t>High</t>
  </si>
  <si>
    <t>Yes</t>
  </si>
  <si>
    <t>C003</t>
  </si>
  <si>
    <t>Emma Watson</t>
  </si>
  <si>
    <t>UK</t>
  </si>
  <si>
    <t>Cash Deposit</t>
  </si>
  <si>
    <t>C004</t>
  </si>
  <si>
    <t>Omar Hassan</t>
  </si>
  <si>
    <t>UAE</t>
  </si>
  <si>
    <t>Incomplete</t>
  </si>
  <si>
    <t>C005</t>
  </si>
  <si>
    <t>Sneha Patel</t>
  </si>
  <si>
    <t>C006</t>
  </si>
  <si>
    <t>Daniel Brooks</t>
  </si>
  <si>
    <t>C007</t>
  </si>
  <si>
    <t>Ayesha Khan</t>
  </si>
  <si>
    <t>Pakistan</t>
  </si>
  <si>
    <t>C008</t>
  </si>
  <si>
    <t>Liam Turner</t>
  </si>
  <si>
    <t>Canada</t>
  </si>
  <si>
    <t>Medium</t>
  </si>
  <si>
    <t>C009</t>
  </si>
  <si>
    <t>Kiran Rao</t>
  </si>
  <si>
    <t>C010</t>
  </si>
  <si>
    <t>Sofia Ramirez</t>
  </si>
  <si>
    <t>Mexico</t>
  </si>
  <si>
    <t>Reason_for_Alert</t>
  </si>
  <si>
    <t>Investigation_Notes</t>
  </si>
  <si>
    <t>Decision</t>
  </si>
  <si>
    <t>Analyst_Name</t>
  </si>
  <si>
    <t>High amount + frequent wire transfers + pending KYC</t>
  </si>
  <si>
    <t>Multiple high-value wire transfers within 7 days. Customer KYC pending review. Requires source of funds verification.</t>
  </si>
  <si>
    <t>Escalate</t>
  </si>
  <si>
    <t>Ammu</t>
  </si>
  <si>
    <t>Large transfer + incomplete KYC</t>
  </si>
  <si>
    <t>Single large transaction from high-risk profile with incomplete KYC documentation. Additional review required.</t>
  </si>
  <si>
    <t>High cash deposits + frequent activity + pending KYC</t>
  </si>
  <si>
    <t>Repeated cash deposits with elevated frequency over 7 days. Customer due diligence incomplete.</t>
  </si>
  <si>
    <t>Review Further</t>
  </si>
  <si>
    <t>High wire volume + incomplete KYC</t>
  </si>
  <si>
    <t>Multiple wire transfers with incomplete KYC records. Needs enhanced due diligence.</t>
  </si>
  <si>
    <t>Very high amount + unusual frequency + pending KYC</t>
  </si>
  <si>
    <t>Highest transaction value with 8 transactions in 7 days. Pattern may indicate structuring or layering.</t>
  </si>
  <si>
    <t>SAR Consideration</t>
  </si>
  <si>
    <t>Row Labels</t>
  </si>
  <si>
    <t>Grand Total</t>
  </si>
  <si>
    <t>Count of Alert_Flag</t>
  </si>
  <si>
    <t>Sum of Amount</t>
  </si>
  <si>
    <t>(All)</t>
  </si>
  <si>
    <t>AML Case Investigation Dashboard</t>
  </si>
  <si>
    <t>Total cases=10</t>
  </si>
  <si>
    <t>Alerts=5</t>
  </si>
  <si>
    <t>Escalations=3</t>
  </si>
  <si>
    <t>SAR Consideration 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</si>
</sst>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[AML_Case_Investigation.xlsx]Dashboard!PivotTable4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suspicious alert amounts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2-4390-B9FB-6850E7AD6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[AML_Case_Investigation.xlsx]Dashboard!PivotTable5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country-wise suspicious amount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Dashboard!$H$4:$H$11</c:f>
              <c:strCache>
                <c:ptCount val="7"/>
                <c:pt idx="0">
                  <c:v>Canada</c:v>
                </c:pt>
                <c:pt idx="1">
                  <c:v>India</c:v>
                </c:pt>
                <c:pt idx="2">
                  <c:v>Mexico</c:v>
                </c:pt>
                <c:pt idx="3">
                  <c:v>Pakistan</c:v>
                </c:pt>
                <c:pt idx="4">
                  <c:v>UAE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Dashboard!$I$4:$I$11</c:f>
              <c:numCache>
                <c:formatCode>General</c:formatCode>
                <c:ptCount val="7"/>
                <c:pt idx="0">
                  <c:v>4500</c:v>
                </c:pt>
                <c:pt idx="1">
                  <c:v>60000</c:v>
                </c:pt>
                <c:pt idx="2">
                  <c:v>3200</c:v>
                </c:pt>
                <c:pt idx="3">
                  <c:v>22000</c:v>
                </c:pt>
                <c:pt idx="4">
                  <c:v>25000</c:v>
                </c:pt>
                <c:pt idx="5">
                  <c:v>900</c:v>
                </c:pt>
                <c:pt idx="6">
                  <c:v>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B-4F8D-85E0-EE64B9CB5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557024"/>
        <c:axId val="620557984"/>
      </c:barChart>
      <c:catAx>
        <c:axId val="62055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57984"/>
        <c:crosses val="autoZero"/>
        <c:auto val="1"/>
        <c:lblAlgn val="ctr"/>
        <c:lblOffset val="100"/>
        <c:noMultiLvlLbl val="0"/>
      </c:catAx>
      <c:valAx>
        <c:axId val="6205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55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26670</xdr:rowOff>
    </xdr:from>
    <xdr:to>
      <xdr:col>6</xdr:col>
      <xdr:colOff>152400</xdr:colOff>
      <xdr:row>28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8469F-28EB-752B-914D-E2DAC09B7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601980</xdr:colOff>
      <xdr:row>12</xdr:row>
      <xdr:rowOff>125730</xdr:rowOff>
    </xdr:from>
    <xdr:to>
      <xdr:col>13</xdr:col>
      <xdr:colOff>342900</xdr:colOff>
      <xdr:row>27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79247-746C-E86A-E1A9-0D86599794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mul" refreshedDate="46130.874605324076" createdVersion="8" refreshedVersion="8" minRefreshableVersion="3" recordCount="10" xr:uid="{00DEC3FC-3CDF-4527-B790-5A483E8A0AA2}">
  <cacheSource type="worksheet">
    <worksheetSource name="Table1"/>
  </cacheSource>
  <cacheFields count="10">
    <cacheField name="Case_ID" numFmtId="0">
      <sharedItems/>
    </cacheField>
    <cacheField name="Customer_Name" numFmtId="0">
      <sharedItems/>
    </cacheField>
    <cacheField name="Country" numFmtId="0">
      <sharedItems count="7">
        <s v="USA"/>
        <s v="India"/>
        <s v="UK"/>
        <s v="UAE"/>
        <s v="Pakistan"/>
        <s v="Canada"/>
        <s v="Mexico"/>
      </sharedItems>
    </cacheField>
    <cacheField name="Transaction_Date" numFmtId="14">
      <sharedItems containsSemiMixedTypes="0" containsNonDate="0" containsDate="1" containsString="0" minDate="2026-04-01T00:00:00" maxDate="2026-04-08T00:00:00"/>
    </cacheField>
    <cacheField name="Amount" numFmtId="0">
      <sharedItems containsSemiMixedTypes="0" containsString="0" containsNumber="1" containsInteger="1" minValue="900" maxValue="27000"/>
    </cacheField>
    <cacheField name="Transaction_Type" numFmtId="0">
      <sharedItems/>
    </cacheField>
    <cacheField name="Frequency_7_Days" numFmtId="0">
      <sharedItems containsSemiMixedTypes="0" containsString="0" containsNumber="1" containsInteger="1" minValue="1" maxValue="8"/>
    </cacheField>
    <cacheField name="KYC_Status" numFmtId="0">
      <sharedItems/>
    </cacheField>
    <cacheField name="Risk_Level" numFmtId="0">
      <sharedItems/>
    </cacheField>
    <cacheField name="Alert_Flag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001"/>
    <s v="Michael Carter"/>
    <x v="0"/>
    <d v="2026-04-01T00:00:00"/>
    <n v="2500"/>
    <s v="Transfer"/>
    <n v="2"/>
    <s v="Complete"/>
    <s v="Low"/>
    <x v="0"/>
  </r>
  <r>
    <s v="C002"/>
    <s v="Arjun Mehta"/>
    <x v="1"/>
    <d v="2026-04-02T00:00:00"/>
    <n v="18000"/>
    <s v="Wire"/>
    <n v="6"/>
    <s v="Pending"/>
    <s v="High"/>
    <x v="1"/>
  </r>
  <r>
    <s v="C003"/>
    <s v="Emma Watson"/>
    <x v="2"/>
    <d v="2026-04-03T00:00:00"/>
    <n v="900"/>
    <s v="Cash Deposit"/>
    <n v="1"/>
    <s v="Complete"/>
    <s v="Low"/>
    <x v="0"/>
  </r>
  <r>
    <s v="C004"/>
    <s v="Omar Hassan"/>
    <x v="3"/>
    <d v="2026-04-03T00:00:00"/>
    <n v="25000"/>
    <s v="Transfer"/>
    <n v="5"/>
    <s v="Incomplete"/>
    <s v="High"/>
    <x v="1"/>
  </r>
  <r>
    <s v="C005"/>
    <s v="Sneha Patel"/>
    <x v="1"/>
    <d v="2026-04-04T00:00:00"/>
    <n v="15000"/>
    <s v="Cash Deposit"/>
    <n v="7"/>
    <s v="Pending"/>
    <s v="High"/>
    <x v="1"/>
  </r>
  <r>
    <s v="C006"/>
    <s v="Daniel Brooks"/>
    <x v="0"/>
    <d v="2026-04-05T00:00:00"/>
    <n v="3000"/>
    <s v="Transfer"/>
    <n v="2"/>
    <s v="Complete"/>
    <s v="Low"/>
    <x v="0"/>
  </r>
  <r>
    <s v="C007"/>
    <s v="Ayesha Khan"/>
    <x v="4"/>
    <d v="2026-04-05T00:00:00"/>
    <n v="22000"/>
    <s v="Wire"/>
    <n v="6"/>
    <s v="Incomplete"/>
    <s v="High"/>
    <x v="1"/>
  </r>
  <r>
    <s v="C008"/>
    <s v="Liam Turner"/>
    <x v="5"/>
    <d v="2026-04-06T00:00:00"/>
    <n v="4500"/>
    <s v="Cash Deposit"/>
    <n v="2"/>
    <s v="Complete"/>
    <s v="Medium"/>
    <x v="0"/>
  </r>
  <r>
    <s v="C009"/>
    <s v="Kiran Rao"/>
    <x v="1"/>
    <d v="2026-04-06T00:00:00"/>
    <n v="27000"/>
    <s v="Transfer"/>
    <n v="8"/>
    <s v="Pending"/>
    <s v="High"/>
    <x v="1"/>
  </r>
  <r>
    <s v="C010"/>
    <s v="Sofia Ramirez"/>
    <x v="6"/>
    <d v="2026-04-07T00:00:00"/>
    <n v="3200"/>
    <s v="Transfer"/>
    <n v="1"/>
    <s v="Complete"/>
    <s v="Low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64EBC-F25F-45C8-B101-8911F3FF91B6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3:I11" firstHeaderRow="1" firstDataRow="1" firstDataCol="1" rowPageCount="1" colPageCount="1"/>
  <pivotFields count="10">
    <pivotField showAll="0"/>
    <pivotField showAll="0"/>
    <pivotField axis="axisRow" showAll="0">
      <items count="8">
        <item x="5"/>
        <item x="1"/>
        <item x="6"/>
        <item x="4"/>
        <item x="3"/>
        <item x="2"/>
        <item x="0"/>
        <item t="default"/>
      </items>
    </pivotField>
    <pivotField numFmtId="14"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9" hier="-1"/>
  </pageFields>
  <dataFields count="1">
    <dataField name="Sum of Amount" fld="4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975F5-0AE8-49C3-ABCA-D952E1AFF6F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0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Alert_Flag" fld="9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E7714C-020B-47FE-B620-B5B6FB922193}" name="Table1" displayName="Table1" ref="A1:J11" totalsRowShown="0" headerRowDxfId="8" dataDxfId="9">
  <autoFilter ref="A1:J11" xr:uid="{81E7714C-020B-47FE-B620-B5B6FB922193}"/>
  <tableColumns count="10">
    <tableColumn id="1" xr3:uid="{501A39C6-1420-43D1-BAF3-B686969DBC60}" name="Case_ID" dataDxfId="19"/>
    <tableColumn id="2" xr3:uid="{F4DC8153-0024-4F9E-BBBB-205CFD6B019E}" name="Customer_Name" dataDxfId="18"/>
    <tableColumn id="3" xr3:uid="{37DB1D9F-ED28-4EAD-A80E-BB9DBFC66C64}" name="Country" dataDxfId="17"/>
    <tableColumn id="4" xr3:uid="{20B8314C-851F-4FC5-BA28-DEB60CCC4F7E}" name="Transaction_Date" dataDxfId="16"/>
    <tableColumn id="5" xr3:uid="{D3DF0260-56C2-4677-AA0F-168A721C239A}" name="Amount" dataDxfId="15"/>
    <tableColumn id="6" xr3:uid="{A656114E-BDB5-41D7-83FD-D5123742C9AE}" name="Transaction_Type" dataDxfId="14"/>
    <tableColumn id="7" xr3:uid="{DB98D21C-9925-4C03-87D5-EBA92174E02B}" name="Frequency_7_Days" dataDxfId="13"/>
    <tableColumn id="8" xr3:uid="{CF5D8F3C-A86C-498C-A0C4-68BDFAA434E9}" name="KYC_Status" dataDxfId="12"/>
    <tableColumn id="9" xr3:uid="{4F5E6F4E-1534-4AC3-8CB6-9E5B102A5AC8}" name="Risk_Level" dataDxfId="11"/>
    <tableColumn id="10" xr3:uid="{27A0417B-FD09-47DF-A49C-C7876637D1F3}" name="Alert_Flag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C7E66F-C91E-412F-AD4E-3B275760A7FC}" name="Table2" displayName="Table2" ref="A1:F6" totalsRowShown="0" headerRowDxfId="0" dataDxfId="1">
  <autoFilter ref="A1:F6" xr:uid="{8BC7E66F-C91E-412F-AD4E-3B275760A7FC}"/>
  <tableColumns count="6">
    <tableColumn id="1" xr3:uid="{ADEFA8FE-1233-4C6F-8B32-4273D7F825C4}" name="Case_ID" dataDxfId="7"/>
    <tableColumn id="2" xr3:uid="{CBA47BFD-9127-43FB-A551-374FA13923A4}" name="Customer_Name" dataDxfId="6"/>
    <tableColumn id="3" xr3:uid="{AEA45334-5028-4BEB-8B2C-E931E9632D65}" name="Reason_for_Alert" dataDxfId="5"/>
    <tableColumn id="4" xr3:uid="{751A90F8-55A7-4AB2-8E34-AA9EDE9BD329}" name="Investigation_Notes" dataDxfId="4"/>
    <tableColumn id="5" xr3:uid="{5FA7C3A3-BC7C-465B-9D8D-8869CC566718}" name="Decision" dataDxfId="3"/>
    <tableColumn id="6" xr3:uid="{3A472834-FF0B-4BCA-BF11-6247E1316DC7}" name="Analyst_Na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06A28-1BD9-457A-A272-2306575DABDF}">
  <dimension ref="A1:J11"/>
  <sheetViews>
    <sheetView workbookViewId="0">
      <selection activeCell="B2" sqref="B2"/>
    </sheetView>
  </sheetViews>
  <sheetFormatPr defaultRowHeight="14.4" x14ac:dyDescent="0.3"/>
  <cols>
    <col min="1" max="1" width="9.5546875" customWidth="1"/>
    <col min="2" max="2" width="16.77734375" customWidth="1"/>
    <col min="3" max="3" width="9.33203125" customWidth="1"/>
    <col min="4" max="4" width="17.21875" customWidth="1"/>
    <col min="5" max="5" width="9.33203125" customWidth="1"/>
    <col min="6" max="6" width="17.21875" customWidth="1"/>
    <col min="7" max="7" width="20.33203125" customWidth="1"/>
    <col min="8" max="8" width="17.33203125" customWidth="1"/>
    <col min="9" max="9" width="13.44140625" customWidth="1"/>
    <col min="10" max="10" width="11.109375" customWidth="1"/>
  </cols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4" t="s">
        <v>10</v>
      </c>
      <c r="B2" s="4" t="s">
        <v>11</v>
      </c>
      <c r="C2" s="4" t="s">
        <v>12</v>
      </c>
      <c r="D2" s="5">
        <v>46113</v>
      </c>
      <c r="E2" s="2">
        <v>2500</v>
      </c>
      <c r="F2" s="4" t="s">
        <v>13</v>
      </c>
      <c r="G2" s="2">
        <v>2</v>
      </c>
      <c r="H2" s="4" t="s">
        <v>14</v>
      </c>
      <c r="I2" s="4" t="s">
        <v>15</v>
      </c>
      <c r="J2" s="4" t="s">
        <v>16</v>
      </c>
    </row>
    <row r="3" spans="1:10" ht="28.8" x14ac:dyDescent="0.3">
      <c r="A3" s="4" t="s">
        <v>17</v>
      </c>
      <c r="B3" s="4" t="s">
        <v>18</v>
      </c>
      <c r="C3" s="4" t="s">
        <v>19</v>
      </c>
      <c r="D3" s="5">
        <v>46114</v>
      </c>
      <c r="E3" s="2">
        <v>18000</v>
      </c>
      <c r="F3" s="4" t="s">
        <v>20</v>
      </c>
      <c r="G3" s="2">
        <v>6</v>
      </c>
      <c r="H3" s="4" t="s">
        <v>21</v>
      </c>
      <c r="I3" s="4" t="s">
        <v>22</v>
      </c>
      <c r="J3" s="4" t="s">
        <v>23</v>
      </c>
    </row>
    <row r="4" spans="1:10" ht="28.8" x14ac:dyDescent="0.3">
      <c r="A4" s="4" t="s">
        <v>24</v>
      </c>
      <c r="B4" s="4" t="s">
        <v>25</v>
      </c>
      <c r="C4" s="4" t="s">
        <v>26</v>
      </c>
      <c r="D4" s="5">
        <v>46115</v>
      </c>
      <c r="E4" s="2">
        <v>900</v>
      </c>
      <c r="F4" s="4" t="s">
        <v>27</v>
      </c>
      <c r="G4" s="2">
        <v>1</v>
      </c>
      <c r="H4" s="4" t="s">
        <v>14</v>
      </c>
      <c r="I4" s="4" t="s">
        <v>15</v>
      </c>
      <c r="J4" s="4" t="s">
        <v>16</v>
      </c>
    </row>
    <row r="5" spans="1:10" ht="28.8" x14ac:dyDescent="0.3">
      <c r="A5" s="4" t="s">
        <v>28</v>
      </c>
      <c r="B5" s="4" t="s">
        <v>29</v>
      </c>
      <c r="C5" s="4" t="s">
        <v>30</v>
      </c>
      <c r="D5" s="5">
        <v>46115</v>
      </c>
      <c r="E5" s="2">
        <v>25000</v>
      </c>
      <c r="F5" s="4" t="s">
        <v>13</v>
      </c>
      <c r="G5" s="2">
        <v>5</v>
      </c>
      <c r="H5" s="4" t="s">
        <v>31</v>
      </c>
      <c r="I5" s="4" t="s">
        <v>22</v>
      </c>
      <c r="J5" s="4" t="s">
        <v>23</v>
      </c>
    </row>
    <row r="6" spans="1:10" ht="28.8" x14ac:dyDescent="0.3">
      <c r="A6" s="4" t="s">
        <v>32</v>
      </c>
      <c r="B6" s="4" t="s">
        <v>33</v>
      </c>
      <c r="C6" s="4" t="s">
        <v>19</v>
      </c>
      <c r="D6" s="5">
        <v>46116</v>
      </c>
      <c r="E6" s="2">
        <v>15000</v>
      </c>
      <c r="F6" s="4" t="s">
        <v>27</v>
      </c>
      <c r="G6" s="2">
        <v>7</v>
      </c>
      <c r="H6" s="4" t="s">
        <v>21</v>
      </c>
      <c r="I6" s="4" t="s">
        <v>22</v>
      </c>
      <c r="J6" s="4" t="s">
        <v>23</v>
      </c>
    </row>
    <row r="7" spans="1:10" ht="28.8" x14ac:dyDescent="0.3">
      <c r="A7" s="4" t="s">
        <v>34</v>
      </c>
      <c r="B7" s="4" t="s">
        <v>35</v>
      </c>
      <c r="C7" s="4" t="s">
        <v>12</v>
      </c>
      <c r="D7" s="5">
        <v>46117</v>
      </c>
      <c r="E7" s="2">
        <v>3000</v>
      </c>
      <c r="F7" s="4" t="s">
        <v>13</v>
      </c>
      <c r="G7" s="2">
        <v>2</v>
      </c>
      <c r="H7" s="4" t="s">
        <v>14</v>
      </c>
      <c r="I7" s="4" t="s">
        <v>15</v>
      </c>
      <c r="J7" s="4" t="s">
        <v>16</v>
      </c>
    </row>
    <row r="8" spans="1:10" ht="28.8" x14ac:dyDescent="0.3">
      <c r="A8" s="4" t="s">
        <v>36</v>
      </c>
      <c r="B8" s="4" t="s">
        <v>37</v>
      </c>
      <c r="C8" s="4" t="s">
        <v>38</v>
      </c>
      <c r="D8" s="5">
        <v>46117</v>
      </c>
      <c r="E8" s="2">
        <v>22000</v>
      </c>
      <c r="F8" s="4" t="s">
        <v>20</v>
      </c>
      <c r="G8" s="2">
        <v>6</v>
      </c>
      <c r="H8" s="4" t="s">
        <v>31</v>
      </c>
      <c r="I8" s="4" t="s">
        <v>22</v>
      </c>
      <c r="J8" s="4" t="s">
        <v>23</v>
      </c>
    </row>
    <row r="9" spans="1:10" ht="28.8" x14ac:dyDescent="0.3">
      <c r="A9" s="4" t="s">
        <v>39</v>
      </c>
      <c r="B9" s="4" t="s">
        <v>40</v>
      </c>
      <c r="C9" s="4" t="s">
        <v>41</v>
      </c>
      <c r="D9" s="5">
        <v>46118</v>
      </c>
      <c r="E9" s="2">
        <v>4500</v>
      </c>
      <c r="F9" s="4" t="s">
        <v>27</v>
      </c>
      <c r="G9" s="2">
        <v>2</v>
      </c>
      <c r="H9" s="4" t="s">
        <v>14</v>
      </c>
      <c r="I9" s="4" t="s">
        <v>42</v>
      </c>
      <c r="J9" s="4" t="s">
        <v>16</v>
      </c>
    </row>
    <row r="10" spans="1:10" x14ac:dyDescent="0.3">
      <c r="A10" s="4" t="s">
        <v>43</v>
      </c>
      <c r="B10" s="4" t="s">
        <v>44</v>
      </c>
      <c r="C10" s="4" t="s">
        <v>19</v>
      </c>
      <c r="D10" s="5">
        <v>46118</v>
      </c>
      <c r="E10" s="2">
        <v>27000</v>
      </c>
      <c r="F10" s="4" t="s">
        <v>13</v>
      </c>
      <c r="G10" s="2">
        <v>8</v>
      </c>
      <c r="H10" s="4" t="s">
        <v>21</v>
      </c>
      <c r="I10" s="4" t="s">
        <v>22</v>
      </c>
      <c r="J10" s="4" t="s">
        <v>23</v>
      </c>
    </row>
    <row r="11" spans="1:10" ht="28.8" x14ac:dyDescent="0.3">
      <c r="A11" s="4" t="s">
        <v>45</v>
      </c>
      <c r="B11" s="4" t="s">
        <v>46</v>
      </c>
      <c r="C11" s="4" t="s">
        <v>47</v>
      </c>
      <c r="D11" s="5">
        <v>46119</v>
      </c>
      <c r="E11" s="2">
        <v>3200</v>
      </c>
      <c r="F11" s="4" t="s">
        <v>13</v>
      </c>
      <c r="G11" s="2">
        <v>1</v>
      </c>
      <c r="H11" s="4" t="s">
        <v>14</v>
      </c>
      <c r="I11" s="4" t="s">
        <v>15</v>
      </c>
      <c r="J11" s="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44A05-09F2-4B7A-8F03-FD16110824EC}">
  <dimension ref="A1:F6"/>
  <sheetViews>
    <sheetView workbookViewId="0">
      <selection activeCell="L1" sqref="L1"/>
    </sheetView>
  </sheetViews>
  <sheetFormatPr defaultRowHeight="14.4" x14ac:dyDescent="0.3"/>
  <cols>
    <col min="1" max="1" width="9.5546875" customWidth="1"/>
    <col min="2" max="2" width="16.77734375" customWidth="1"/>
    <col min="3" max="3" width="16.6640625" customWidth="1"/>
    <col min="4" max="4" width="19.21875" customWidth="1"/>
    <col min="5" max="5" width="10.109375" customWidth="1"/>
    <col min="6" max="6" width="14.77734375" customWidth="1"/>
  </cols>
  <sheetData>
    <row r="1" spans="1:6" ht="43.2" x14ac:dyDescent="0.3">
      <c r="A1" s="1" t="s">
        <v>0</v>
      </c>
      <c r="B1" s="1" t="s">
        <v>1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 ht="230.4" x14ac:dyDescent="0.3">
      <c r="A2" s="4" t="s">
        <v>17</v>
      </c>
      <c r="B2" s="4" t="s">
        <v>18</v>
      </c>
      <c r="C2" s="4" t="s">
        <v>52</v>
      </c>
      <c r="D2" s="4" t="s">
        <v>53</v>
      </c>
      <c r="E2" s="4" t="s">
        <v>54</v>
      </c>
      <c r="F2" s="4" t="s">
        <v>55</v>
      </c>
    </row>
    <row r="3" spans="1:6" ht="201.6" x14ac:dyDescent="0.3">
      <c r="A3" s="4" t="s">
        <v>28</v>
      </c>
      <c r="B3" s="4" t="s">
        <v>29</v>
      </c>
      <c r="C3" s="4" t="s">
        <v>56</v>
      </c>
      <c r="D3" s="4" t="s">
        <v>57</v>
      </c>
      <c r="E3" s="4" t="s">
        <v>54</v>
      </c>
      <c r="F3" s="4" t="s">
        <v>55</v>
      </c>
    </row>
    <row r="4" spans="1:6" ht="187.2" x14ac:dyDescent="0.3">
      <c r="A4" s="4" t="s">
        <v>32</v>
      </c>
      <c r="B4" s="4" t="s">
        <v>33</v>
      </c>
      <c r="C4" s="4" t="s">
        <v>58</v>
      </c>
      <c r="D4" s="4" t="s">
        <v>59</v>
      </c>
      <c r="E4" s="4" t="s">
        <v>60</v>
      </c>
      <c r="F4" s="4" t="s">
        <v>55</v>
      </c>
    </row>
    <row r="5" spans="1:6" ht="158.4" x14ac:dyDescent="0.3">
      <c r="A5" s="4" t="s">
        <v>36</v>
      </c>
      <c r="B5" s="4" t="s">
        <v>37</v>
      </c>
      <c r="C5" s="4" t="s">
        <v>61</v>
      </c>
      <c r="D5" s="4" t="s">
        <v>62</v>
      </c>
      <c r="E5" s="4" t="s">
        <v>54</v>
      </c>
      <c r="F5" s="4" t="s">
        <v>55</v>
      </c>
    </row>
    <row r="6" spans="1:6" ht="187.2" x14ac:dyDescent="0.3">
      <c r="A6" s="4" t="s">
        <v>43</v>
      </c>
      <c r="B6" s="4" t="s">
        <v>44</v>
      </c>
      <c r="C6" s="4" t="s">
        <v>63</v>
      </c>
      <c r="D6" s="4" t="s">
        <v>64</v>
      </c>
      <c r="E6" s="4" t="s">
        <v>65</v>
      </c>
      <c r="F6" s="4" t="s">
        <v>55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9617-EB29-4114-A9FB-F3618BBC60C5}">
  <dimension ref="A1:I31"/>
  <sheetViews>
    <sheetView tabSelected="1" zoomScale="71" workbookViewId="0">
      <selection activeCell="N34" sqref="N34"/>
    </sheetView>
  </sheetViews>
  <sheetFormatPr defaultRowHeight="14.4" x14ac:dyDescent="0.3"/>
  <cols>
    <col min="1" max="1" width="50.109375" bestFit="1" customWidth="1"/>
    <col min="2" max="2" width="16.44140625" bestFit="1" customWidth="1"/>
    <col min="4" max="4" width="12.21875" bestFit="1" customWidth="1"/>
    <col min="5" max="5" width="18.33203125" bestFit="1" customWidth="1"/>
    <col min="8" max="8" width="12.44140625" bestFit="1" customWidth="1"/>
    <col min="9" max="9" width="13.5546875" bestFit="1" customWidth="1"/>
  </cols>
  <sheetData>
    <row r="1" spans="1:9" ht="23.4" x14ac:dyDescent="0.45">
      <c r="A1" s="9" t="s">
        <v>71</v>
      </c>
      <c r="H1" s="6" t="s">
        <v>9</v>
      </c>
      <c r="I1" t="s">
        <v>70</v>
      </c>
    </row>
    <row r="3" spans="1:9" x14ac:dyDescent="0.3">
      <c r="A3" s="6" t="s">
        <v>66</v>
      </c>
      <c r="B3" t="s">
        <v>68</v>
      </c>
      <c r="H3" s="6" t="s">
        <v>66</v>
      </c>
      <c r="I3" t="s">
        <v>69</v>
      </c>
    </row>
    <row r="4" spans="1:9" x14ac:dyDescent="0.3">
      <c r="A4" s="7" t="s">
        <v>16</v>
      </c>
      <c r="B4" s="8">
        <v>5</v>
      </c>
      <c r="H4" s="7" t="s">
        <v>41</v>
      </c>
      <c r="I4" s="8">
        <v>4500</v>
      </c>
    </row>
    <row r="5" spans="1:9" x14ac:dyDescent="0.3">
      <c r="A5" s="7" t="s">
        <v>23</v>
      </c>
      <c r="B5" s="8">
        <v>5</v>
      </c>
      <c r="H5" s="7" t="s">
        <v>19</v>
      </c>
      <c r="I5" s="8">
        <v>60000</v>
      </c>
    </row>
    <row r="6" spans="1:9" x14ac:dyDescent="0.3">
      <c r="A6" s="7" t="s">
        <v>67</v>
      </c>
      <c r="B6" s="8">
        <v>10</v>
      </c>
      <c r="H6" s="7" t="s">
        <v>47</v>
      </c>
      <c r="I6" s="8">
        <v>3200</v>
      </c>
    </row>
    <row r="7" spans="1:9" x14ac:dyDescent="0.3">
      <c r="H7" s="7" t="s">
        <v>38</v>
      </c>
      <c r="I7" s="8">
        <v>22000</v>
      </c>
    </row>
    <row r="8" spans="1:9" x14ac:dyDescent="0.3">
      <c r="H8" s="7" t="s">
        <v>30</v>
      </c>
      <c r="I8" s="8">
        <v>25000</v>
      </c>
    </row>
    <row r="9" spans="1:9" x14ac:dyDescent="0.3">
      <c r="H9" s="7" t="s">
        <v>26</v>
      </c>
      <c r="I9" s="8">
        <v>900</v>
      </c>
    </row>
    <row r="10" spans="1:9" x14ac:dyDescent="0.3">
      <c r="H10" s="7" t="s">
        <v>12</v>
      </c>
      <c r="I10" s="8">
        <v>5500</v>
      </c>
    </row>
    <row r="11" spans="1:9" x14ac:dyDescent="0.3">
      <c r="H11" s="7" t="s">
        <v>67</v>
      </c>
      <c r="I11" s="8">
        <v>121100</v>
      </c>
    </row>
    <row r="31" spans="2:5" x14ac:dyDescent="0.3">
      <c r="B31" s="10" t="s">
        <v>72</v>
      </c>
      <c r="C31" s="10" t="s">
        <v>73</v>
      </c>
      <c r="D31" s="10" t="s">
        <v>74</v>
      </c>
      <c r="E31" s="10" t="s">
        <v>75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Case_Notes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Nenavath,Amulya Sri</dc:creator>
  <cp:lastModifiedBy>Nenavath,Amulya Sri</cp:lastModifiedBy>
  <dcterms:created xsi:type="dcterms:W3CDTF">2026-04-19T01:54:09Z</dcterms:created>
  <dcterms:modified xsi:type="dcterms:W3CDTF">2026-04-19T02:09:36Z</dcterms:modified>
</cp:coreProperties>
</file>