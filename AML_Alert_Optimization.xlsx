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amul\OneDrive - nwmissouri.edu\Desktop\AML_Projects\"/>
    </mc:Choice>
  </mc:AlternateContent>
  <xr:revisionPtr revIDLastSave="0" documentId="13_ncr:1_{C0428779-723A-428B-B7BD-56F6F226EF6E}" xr6:coauthVersionLast="47" xr6:coauthVersionMax="47" xr10:uidLastSave="{00000000-0000-0000-0000-000000000000}"/>
  <bookViews>
    <workbookView xWindow="-108" yWindow="-108" windowWidth="23256" windowHeight="12456" activeTab="1" xr2:uid="{F563DC35-D814-4A2E-A032-42AAF756C2A6}"/>
  </bookViews>
  <sheets>
    <sheet name="Alerts_Data" sheetId="1" r:id="rId1"/>
    <sheet name="Dashboard" sheetId="2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<sst xmlns="http://schemas.openxmlformats.org/spreadsheetml/2006/main" count="148" uniqueCount="79">
  <si>
    <t>Alert_ID</t>
  </si>
  <si>
    <t>Month</t>
  </si>
  <si>
    <t>Scenario_Name</t>
  </si>
  <si>
    <t>Customer_Name</t>
  </si>
  <si>
    <t>Country</t>
  </si>
  <si>
    <t>Customer_Type</t>
  </si>
  <si>
    <t>Alert_Result</t>
  </si>
  <si>
    <t>Amount</t>
  </si>
  <si>
    <t>Investigator_Time_Min</t>
  </si>
  <si>
    <t>False_Positive_Reason</t>
  </si>
  <si>
    <t>Risk_Tag</t>
  </si>
  <si>
    <t>A001</t>
  </si>
  <si>
    <t>Jan</t>
  </si>
  <si>
    <t>Cash Structuring</t>
  </si>
  <si>
    <t>Michael Carter</t>
  </si>
  <si>
    <t>USA</t>
  </si>
  <si>
    <t>Retail</t>
  </si>
  <si>
    <t>False Positive</t>
  </si>
  <si>
    <t>Payroll cash deposits</t>
  </si>
  <si>
    <t>Medium</t>
  </si>
  <si>
    <t>A002</t>
  </si>
  <si>
    <t>Rapid Wire Outflow</t>
  </si>
  <si>
    <t>Arjun Mehta</t>
  </si>
  <si>
    <t>India</t>
  </si>
  <si>
    <t>Business</t>
  </si>
  <si>
    <t>True Positive</t>
  </si>
  <si>
    <t>NA</t>
  </si>
  <si>
    <t>High</t>
  </si>
  <si>
    <t>A003</t>
  </si>
  <si>
    <t>Round Dollar Payments</t>
  </si>
  <si>
    <t>Emma Watson</t>
  </si>
  <si>
    <t>UK</t>
  </si>
  <si>
    <t>Rent settlement</t>
  </si>
  <si>
    <t>Low</t>
  </si>
  <si>
    <t>A004</t>
  </si>
  <si>
    <t>Feb</t>
  </si>
  <si>
    <t>High Risk Country Transfer</t>
  </si>
  <si>
    <t>Omar Hassan</t>
  </si>
  <si>
    <t>UAE</t>
  </si>
  <si>
    <t>A005</t>
  </si>
  <si>
    <t>Dormant Account Activity</t>
  </si>
  <si>
    <t>Sneha Patel</t>
  </si>
  <si>
    <t>A006</t>
  </si>
  <si>
    <t>Multiple ATM Cash Deposits</t>
  </si>
  <si>
    <t>Daniel Brooks</t>
  </si>
  <si>
    <t>Personal savings pattern</t>
  </si>
  <si>
    <t>A007</t>
  </si>
  <si>
    <t>Mar</t>
  </si>
  <si>
    <t>Funnel Account Pattern</t>
  </si>
  <si>
    <t>Ayesha Khan</t>
  </si>
  <si>
    <t>Pakistan</t>
  </si>
  <si>
    <t>A008</t>
  </si>
  <si>
    <t>Third Party Wire Credits</t>
  </si>
  <si>
    <t>Liam Turner</t>
  </si>
  <si>
    <t>Canada</t>
  </si>
  <si>
    <t>Family transfers</t>
  </si>
  <si>
    <t>A009</t>
  </si>
  <si>
    <t>Layering Movement</t>
  </si>
  <si>
    <t>Kiran Rao</t>
  </si>
  <si>
    <t>A010</t>
  </si>
  <si>
    <t>Unusual Geo Activity</t>
  </si>
  <si>
    <t>Sofia Ramirez</t>
  </si>
  <si>
    <t>Mexico</t>
  </si>
  <si>
    <t>Travel usage confirmed</t>
  </si>
  <si>
    <t>A011</t>
  </si>
  <si>
    <t>Apr</t>
  </si>
  <si>
    <t>Burst ACH Transfers</t>
  </si>
  <si>
    <t>Noah Bennett</t>
  </si>
  <si>
    <t>A012</t>
  </si>
  <si>
    <t>Repeated Round Wires</t>
  </si>
  <si>
    <t>Priya Nair</t>
  </si>
  <si>
    <t>Singapore</t>
  </si>
  <si>
    <t>Row Labels</t>
  </si>
  <si>
    <t>Grand Total</t>
  </si>
  <si>
    <t>Count of Alert_Result</t>
  </si>
  <si>
    <t>Count of Alert_ID</t>
  </si>
  <si>
    <t>AML Alert Optimization &amp; False Positive Reduction Dashboard</t>
  </si>
  <si>
    <t>| Total Alerts = 12 | True Positive = 7 | False Positive = 5 | Avg Review Time =39 Min |</t>
  </si>
  <si>
    <t>Average of Investigator_Time_Min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</si>
</sst>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7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[AML_Alert_Optimization.xlsx]Dashboard!PivotTable1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True Positive vs False Positive</a:t>
            </a:r>
            <a:r>
              <a:rPr lang="en-US" sz="1400" b="0" i="0" u="none" strike="noStrike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Dashboard!$A$4:$A$6</c:f>
              <c:strCache>
                <c:ptCount val="2"/>
                <c:pt idx="0">
                  <c:v>False Positive</c:v>
                </c:pt>
                <c:pt idx="1">
                  <c:v>True Positive</c:v>
                </c:pt>
              </c:strCache>
            </c:strRef>
          </c:cat>
          <c:val>
            <c:numRef>
              <c:f>Dashboard!$B$4:$B$6</c:f>
              <c:numCache>
                <c:formatCode>General</c:formatCode>
                <c:ptCount val="2"/>
                <c:pt idx="0">
                  <c:v>5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B-4BB1-BC29-FD020917E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[AML_Alert_Optimization.xlsx]Dashboard!PivotTable2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Alerts by Scenario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Dashboard!$H$4:$H$16</c:f>
              <c:strCache>
                <c:ptCount val="12"/>
                <c:pt idx="0">
                  <c:v>Burst ACH Transfers</c:v>
                </c:pt>
                <c:pt idx="1">
                  <c:v>Cash Structuring</c:v>
                </c:pt>
                <c:pt idx="2">
                  <c:v>Dormant Account Activity</c:v>
                </c:pt>
                <c:pt idx="3">
                  <c:v>Funnel Account Pattern</c:v>
                </c:pt>
                <c:pt idx="4">
                  <c:v>High Risk Country Transfer</c:v>
                </c:pt>
                <c:pt idx="5">
                  <c:v>Layering Movement</c:v>
                </c:pt>
                <c:pt idx="6">
                  <c:v>Multiple ATM Cash Deposits</c:v>
                </c:pt>
                <c:pt idx="7">
                  <c:v>Rapid Wire Outflow</c:v>
                </c:pt>
                <c:pt idx="8">
                  <c:v>Repeated Round Wires</c:v>
                </c:pt>
                <c:pt idx="9">
                  <c:v>Round Dollar Payments</c:v>
                </c:pt>
                <c:pt idx="10">
                  <c:v>Third Party Wire Credits</c:v>
                </c:pt>
                <c:pt idx="11">
                  <c:v>Unusual Geo Activity</c:v>
                </c:pt>
              </c:strCache>
            </c:strRef>
          </c:cat>
          <c:val>
            <c:numRef>
              <c:f>Dashboard!$I$4:$I$16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3-4D60-B0F8-586E5C159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1895616"/>
        <c:axId val="1751897056"/>
      </c:barChart>
      <c:catAx>
        <c:axId val="17518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897056"/>
        <c:crosses val="autoZero"/>
        <c:auto val="1"/>
        <c:lblAlgn val="ctr"/>
        <c:lblOffset val="100"/>
        <c:noMultiLvlLbl val="0"/>
      </c:catAx>
      <c:valAx>
        <c:axId val="175189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89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[AML_Alert_Optimization.xlsx]Dashboard!PivotTable3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Investigation Time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Dashboard!$N$3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Dashboard!$M$4:$M$8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Dashboard!$N$4:$N$8</c:f>
              <c:numCache>
                <c:formatCode>General</c:formatCode>
                <c:ptCount val="4"/>
                <c:pt idx="0">
                  <c:v>27.333333333333332</c:v>
                </c:pt>
                <c:pt idx="1">
                  <c:v>39.333333333333336</c:v>
                </c:pt>
                <c:pt idx="2">
                  <c:v>38.25</c:v>
                </c:pt>
                <c:pt idx="3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DD-45A5-8216-FFA301135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1910496"/>
        <c:axId val="1751902336"/>
      </c:lineChart>
      <c:catAx>
        <c:axId val="175191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902336"/>
        <c:crosses val="autoZero"/>
        <c:auto val="1"/>
        <c:lblAlgn val="ctr"/>
        <c:lblOffset val="100"/>
        <c:noMultiLvlLbl val="0"/>
      </c:catAx>
      <c:valAx>
        <c:axId val="175190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91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160020</xdr:rowOff>
    </xdr:from>
    <xdr:to>
      <xdr:col>1</xdr:col>
      <xdr:colOff>149412</xdr:colOff>
      <xdr:row>22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9D790-B024-6376-E8BE-C7A46D38F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530860</xdr:colOff>
      <xdr:row>17</xdr:row>
      <xdr:rowOff>163830</xdr:rowOff>
    </xdr:from>
    <xdr:to>
      <xdr:col>9</xdr:col>
      <xdr:colOff>58420</xdr:colOff>
      <xdr:row>32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05D42C-FC73-1F00-6340-A498C7142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86360</xdr:colOff>
      <xdr:row>16</xdr:row>
      <xdr:rowOff>102870</xdr:rowOff>
    </xdr:from>
    <xdr:to>
      <xdr:col>15</xdr:col>
      <xdr:colOff>200660</xdr:colOff>
      <xdr:row>31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38C7E3-4D26-BE69-3B02-4AB70E61A9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mul" refreshedDate="46131.900505902777" createdVersion="8" refreshedVersion="8" minRefreshableVersion="3" recordCount="12" xr:uid="{D3A8C440-C2B1-4650-98FE-92D612F08B3C}">
  <cacheSource type="worksheet">
    <worksheetSource name="Table1"/>
  </cacheSource>
  <cacheFields count="11">
    <cacheField name="Alert_ID" numFmtId="0">
      <sharedItems/>
    </cacheField>
    <cacheField name="Month" numFmtId="0">
      <sharedItems count="4">
        <s v="Jan"/>
        <s v="Feb"/>
        <s v="Mar"/>
        <s v="Apr"/>
      </sharedItems>
    </cacheField>
    <cacheField name="Scenario_Name" numFmtId="0">
      <sharedItems count="12">
        <s v="Cash Structuring"/>
        <s v="Rapid Wire Outflow"/>
        <s v="Round Dollar Payments"/>
        <s v="High Risk Country Transfer"/>
        <s v="Dormant Account Activity"/>
        <s v="Multiple ATM Cash Deposits"/>
        <s v="Funnel Account Pattern"/>
        <s v="Third Party Wire Credits"/>
        <s v="Layering Movement"/>
        <s v="Unusual Geo Activity"/>
        <s v="Burst ACH Transfers"/>
        <s v="Repeated Round Wires"/>
      </sharedItems>
    </cacheField>
    <cacheField name="Customer_Name" numFmtId="0">
      <sharedItems/>
    </cacheField>
    <cacheField name="Country" numFmtId="0">
      <sharedItems/>
    </cacheField>
    <cacheField name="Customer_Type" numFmtId="0">
      <sharedItems/>
    </cacheField>
    <cacheField name="Alert_Result" numFmtId="0">
      <sharedItems count="2">
        <s v="False Positive"/>
        <s v="True Positive"/>
      </sharedItems>
    </cacheField>
    <cacheField name="Amount" numFmtId="0">
      <sharedItems containsSemiMixedTypes="0" containsString="0" containsNumber="1" containsInteger="1" minValue="6200" maxValue="51000"/>
    </cacheField>
    <cacheField name="Investigator_Time_Min" numFmtId="0">
      <sharedItems containsSemiMixedTypes="0" containsString="0" containsNumber="1" containsInteger="1" minValue="12" maxValue="66"/>
    </cacheField>
    <cacheField name="False_Positive_Reason" numFmtId="0">
      <sharedItems/>
    </cacheField>
    <cacheField name="Risk_T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A001"/>
    <x v="0"/>
    <x v="0"/>
    <s v="Michael Carter"/>
    <s v="USA"/>
    <s v="Retail"/>
    <x v="0"/>
    <n v="9800"/>
    <n v="16"/>
    <s v="Payroll cash deposits"/>
    <s v="Medium"/>
  </r>
  <r>
    <s v="A002"/>
    <x v="0"/>
    <x v="1"/>
    <s v="Arjun Mehta"/>
    <s v="India"/>
    <s v="Business"/>
    <x v="1"/>
    <n v="28500"/>
    <n v="52"/>
    <s v="NA"/>
    <s v="High"/>
  </r>
  <r>
    <s v="A003"/>
    <x v="0"/>
    <x v="2"/>
    <s v="Emma Watson"/>
    <s v="UK"/>
    <s v="Retail"/>
    <x v="0"/>
    <n v="10000"/>
    <n v="14"/>
    <s v="Rent settlement"/>
    <s v="Low"/>
  </r>
  <r>
    <s v="A004"/>
    <x v="1"/>
    <x v="3"/>
    <s v="Omar Hassan"/>
    <s v="UAE"/>
    <s v="Business"/>
    <x v="1"/>
    <n v="42000"/>
    <n v="61"/>
    <s v="NA"/>
    <s v="High"/>
  </r>
  <r>
    <s v="A005"/>
    <x v="1"/>
    <x v="4"/>
    <s v="Sneha Patel"/>
    <s v="India"/>
    <s v="Retail"/>
    <x v="1"/>
    <n v="15000"/>
    <n v="44"/>
    <s v="NA"/>
    <s v="High"/>
  </r>
  <r>
    <s v="A006"/>
    <x v="1"/>
    <x v="5"/>
    <s v="Daniel Brooks"/>
    <s v="USA"/>
    <s v="Retail"/>
    <x v="0"/>
    <n v="7600"/>
    <n v="13"/>
    <s v="Personal savings pattern"/>
    <s v="Medium"/>
  </r>
  <r>
    <s v="A007"/>
    <x v="2"/>
    <x v="6"/>
    <s v="Ayesha Khan"/>
    <s v="Pakistan"/>
    <s v="Business"/>
    <x v="1"/>
    <n v="33500"/>
    <n v="58"/>
    <s v="NA"/>
    <s v="High"/>
  </r>
  <r>
    <s v="A008"/>
    <x v="2"/>
    <x v="7"/>
    <s v="Liam Turner"/>
    <s v="Canada"/>
    <s v="Retail"/>
    <x v="0"/>
    <n v="8900"/>
    <n v="17"/>
    <s v="Family transfers"/>
    <s v="Medium"/>
  </r>
  <r>
    <s v="A009"/>
    <x v="2"/>
    <x v="8"/>
    <s v="Kiran Rao"/>
    <s v="India"/>
    <s v="Business"/>
    <x v="1"/>
    <n v="51000"/>
    <n v="66"/>
    <s v="NA"/>
    <s v="High"/>
  </r>
  <r>
    <s v="A010"/>
    <x v="2"/>
    <x v="9"/>
    <s v="Sofia Ramirez"/>
    <s v="Mexico"/>
    <s v="Retail"/>
    <x v="0"/>
    <n v="6200"/>
    <n v="12"/>
    <s v="Travel usage confirmed"/>
    <s v="Low"/>
  </r>
  <r>
    <s v="A011"/>
    <x v="3"/>
    <x v="10"/>
    <s v="Noah Bennett"/>
    <s v="USA"/>
    <s v="Business"/>
    <x v="1"/>
    <n v="27000"/>
    <n v="47"/>
    <s v="NA"/>
    <s v="High"/>
  </r>
  <r>
    <s v="A012"/>
    <x v="3"/>
    <x v="11"/>
    <s v="Priya Nair"/>
    <s v="Singapore"/>
    <s v="Business"/>
    <x v="1"/>
    <n v="39000"/>
    <n v="55"/>
    <s v="NA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271A3-21B4-49E6-9B15-C50F6B6F77A0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3:N8" firstHeaderRow="1" firstDataRow="1" firstDataCol="1"/>
  <pivotFields count="11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Investigator_Time_Min" fld="8" subtotal="average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A7956-C77F-441D-BB3A-266FB28DA3E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3:I16" firstHeaderRow="1" firstDataRow="1" firstDataCol="1"/>
  <pivotFields count="11">
    <pivotField dataField="1" showAll="0"/>
    <pivotField showAll="0"/>
    <pivotField axis="axisRow" showAll="0">
      <items count="13">
        <item x="10"/>
        <item x="0"/>
        <item x="4"/>
        <item x="6"/>
        <item x="3"/>
        <item x="8"/>
        <item x="5"/>
        <item x="1"/>
        <item x="11"/>
        <item x="2"/>
        <item x="7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Alert_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FE180F-8B3A-410C-9728-156900F86FEF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Alert_Result" fld="6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4A9373-7D21-466B-8869-BC2B80220FB0}" name="Table1" displayName="Table1" ref="A1:K13" totalsRowShown="0" headerRowDxfId="0" dataDxfId="1">
  <autoFilter ref="A1:K13" xr:uid="{2C4A9373-7D21-466B-8869-BC2B80220FB0}"/>
  <tableColumns count="11">
    <tableColumn id="1" xr3:uid="{3DD447EC-E128-43CE-86C4-90F81ED90801}" name="Alert_ID" dataDxfId="12"/>
    <tableColumn id="2" xr3:uid="{C4004CF3-AB5E-4498-BD64-1E4010684972}" name="Month" dataDxfId="11"/>
    <tableColumn id="3" xr3:uid="{6DF28D84-231B-4991-AB73-E927A3438941}" name="Scenario_Name" dataDxfId="10"/>
    <tableColumn id="4" xr3:uid="{DB3B4D99-A027-4702-AC41-646BDE33C2A2}" name="Customer_Name" dataDxfId="9"/>
    <tableColumn id="5" xr3:uid="{F40F44A5-36E8-4B55-A65D-B736FD6F5635}" name="Country" dataDxfId="8"/>
    <tableColumn id="6" xr3:uid="{D02E6D7A-16FB-48BF-B997-87544BBCCBDA}" name="Customer_Type" dataDxfId="7"/>
    <tableColumn id="7" xr3:uid="{AA16A86E-7756-4C09-A0DD-B83C278E76DE}" name="Alert_Result" dataDxfId="6"/>
    <tableColumn id="8" xr3:uid="{C1DC2A0B-8A3B-4FAD-98B1-6B45675815C6}" name="Amount" dataDxfId="5"/>
    <tableColumn id="9" xr3:uid="{DEC27ABB-7943-4F2F-9E77-22EDDBBFEAA6}" name="Investigator_Time_Min" dataDxfId="4"/>
    <tableColumn id="10" xr3:uid="{77FE517D-69B6-49E2-9131-4BEBA9063040}" name="False_Positive_Reason" dataDxfId="3"/>
    <tableColumn id="11" xr3:uid="{17498455-E58E-4174-8143-7E642CEDA03E}" name="Risk_Ta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639D6-5347-403A-AA05-AEB2380589DB}">
  <dimension ref="A1:K13"/>
  <sheetViews>
    <sheetView topLeftCell="A2" zoomScale="92" workbookViewId="0">
      <selection activeCell="D4" sqref="D4"/>
    </sheetView>
  </sheetViews>
  <sheetFormatPr defaultRowHeight="14.4" x14ac:dyDescent="0.3"/>
  <cols>
    <col min="1" max="1" width="9.77734375" customWidth="1"/>
    <col min="3" max="3" width="16.33203125" customWidth="1"/>
    <col min="4" max="4" width="17.44140625" customWidth="1"/>
    <col min="5" max="5" width="9.77734375" customWidth="1"/>
    <col min="6" max="6" width="17.5546875" customWidth="1"/>
    <col min="7" max="7" width="13.44140625" customWidth="1"/>
    <col min="8" max="8" width="9.5546875" customWidth="1"/>
    <col min="9" max="9" width="22" customWidth="1"/>
    <col min="10" max="10" width="22.33203125" customWidth="1"/>
    <col min="11" max="11" width="10.21875" customWidth="1"/>
  </cols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</row>
    <row r="2" spans="1:11" ht="43.2" x14ac:dyDescent="0.3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2">
        <v>9800</v>
      </c>
      <c r="I2" s="2">
        <v>16</v>
      </c>
      <c r="J2" s="4" t="s">
        <v>18</v>
      </c>
      <c r="K2" s="4" t="s">
        <v>19</v>
      </c>
    </row>
    <row r="3" spans="1:11" ht="43.2" x14ac:dyDescent="0.3">
      <c r="A3" s="4" t="s">
        <v>20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2">
        <v>28500</v>
      </c>
      <c r="I3" s="2">
        <v>52</v>
      </c>
      <c r="J3" s="4" t="s">
        <v>26</v>
      </c>
      <c r="K3" s="4" t="s">
        <v>27</v>
      </c>
    </row>
    <row r="4" spans="1:11" ht="43.2" x14ac:dyDescent="0.3">
      <c r="A4" s="4" t="s">
        <v>28</v>
      </c>
      <c r="B4" s="4" t="s">
        <v>12</v>
      </c>
      <c r="C4" s="4" t="s">
        <v>29</v>
      </c>
      <c r="D4" s="4" t="s">
        <v>30</v>
      </c>
      <c r="E4" s="4" t="s">
        <v>31</v>
      </c>
      <c r="F4" s="4" t="s">
        <v>16</v>
      </c>
      <c r="G4" s="4" t="s">
        <v>17</v>
      </c>
      <c r="H4" s="2">
        <v>10000</v>
      </c>
      <c r="I4" s="2">
        <v>14</v>
      </c>
      <c r="J4" s="4" t="s">
        <v>32</v>
      </c>
      <c r="K4" s="4" t="s">
        <v>33</v>
      </c>
    </row>
    <row r="5" spans="1:11" ht="43.2" x14ac:dyDescent="0.3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24</v>
      </c>
      <c r="G5" s="4" t="s">
        <v>25</v>
      </c>
      <c r="H5" s="2">
        <v>42000</v>
      </c>
      <c r="I5" s="2">
        <v>61</v>
      </c>
      <c r="J5" s="4" t="s">
        <v>26</v>
      </c>
      <c r="K5" s="4" t="s">
        <v>27</v>
      </c>
    </row>
    <row r="6" spans="1:11" ht="43.2" x14ac:dyDescent="0.3">
      <c r="A6" s="4" t="s">
        <v>39</v>
      </c>
      <c r="B6" s="4" t="s">
        <v>35</v>
      </c>
      <c r="C6" s="4" t="s">
        <v>40</v>
      </c>
      <c r="D6" s="4" t="s">
        <v>41</v>
      </c>
      <c r="E6" s="4" t="s">
        <v>23</v>
      </c>
      <c r="F6" s="4" t="s">
        <v>16</v>
      </c>
      <c r="G6" s="4" t="s">
        <v>25</v>
      </c>
      <c r="H6" s="2">
        <v>15000</v>
      </c>
      <c r="I6" s="2">
        <v>44</v>
      </c>
      <c r="J6" s="4" t="s">
        <v>26</v>
      </c>
      <c r="K6" s="4" t="s">
        <v>27</v>
      </c>
    </row>
    <row r="7" spans="1:11" ht="43.2" x14ac:dyDescent="0.3">
      <c r="A7" s="4" t="s">
        <v>42</v>
      </c>
      <c r="B7" s="4" t="s">
        <v>35</v>
      </c>
      <c r="C7" s="4" t="s">
        <v>43</v>
      </c>
      <c r="D7" s="4" t="s">
        <v>44</v>
      </c>
      <c r="E7" s="4" t="s">
        <v>15</v>
      </c>
      <c r="F7" s="4" t="s">
        <v>16</v>
      </c>
      <c r="G7" s="4" t="s">
        <v>17</v>
      </c>
      <c r="H7" s="2">
        <v>7600</v>
      </c>
      <c r="I7" s="2">
        <v>13</v>
      </c>
      <c r="J7" s="4" t="s">
        <v>45</v>
      </c>
      <c r="K7" s="4" t="s">
        <v>19</v>
      </c>
    </row>
    <row r="8" spans="1:11" ht="43.2" x14ac:dyDescent="0.3">
      <c r="A8" s="4" t="s">
        <v>46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24</v>
      </c>
      <c r="G8" s="4" t="s">
        <v>25</v>
      </c>
      <c r="H8" s="2">
        <v>33500</v>
      </c>
      <c r="I8" s="2">
        <v>58</v>
      </c>
      <c r="J8" s="4" t="s">
        <v>26</v>
      </c>
      <c r="K8" s="4" t="s">
        <v>27</v>
      </c>
    </row>
    <row r="9" spans="1:11" ht="57.6" x14ac:dyDescent="0.3">
      <c r="A9" s="4" t="s">
        <v>51</v>
      </c>
      <c r="B9" s="4" t="s">
        <v>47</v>
      </c>
      <c r="C9" s="4" t="s">
        <v>52</v>
      </c>
      <c r="D9" s="4" t="s">
        <v>53</v>
      </c>
      <c r="E9" s="4" t="s">
        <v>54</v>
      </c>
      <c r="F9" s="4" t="s">
        <v>16</v>
      </c>
      <c r="G9" s="4" t="s">
        <v>17</v>
      </c>
      <c r="H9" s="2">
        <v>8900</v>
      </c>
      <c r="I9" s="2">
        <v>17</v>
      </c>
      <c r="J9" s="4" t="s">
        <v>55</v>
      </c>
      <c r="K9" s="4" t="s">
        <v>19</v>
      </c>
    </row>
    <row r="10" spans="1:11" ht="43.2" x14ac:dyDescent="0.3">
      <c r="A10" s="4" t="s">
        <v>56</v>
      </c>
      <c r="B10" s="4" t="s">
        <v>47</v>
      </c>
      <c r="C10" s="4" t="s">
        <v>57</v>
      </c>
      <c r="D10" s="4" t="s">
        <v>58</v>
      </c>
      <c r="E10" s="4" t="s">
        <v>23</v>
      </c>
      <c r="F10" s="4" t="s">
        <v>24</v>
      </c>
      <c r="G10" s="4" t="s">
        <v>25</v>
      </c>
      <c r="H10" s="2">
        <v>51000</v>
      </c>
      <c r="I10" s="2">
        <v>66</v>
      </c>
      <c r="J10" s="4" t="s">
        <v>26</v>
      </c>
      <c r="K10" s="4" t="s">
        <v>27</v>
      </c>
    </row>
    <row r="11" spans="1:11" ht="57.6" x14ac:dyDescent="0.3">
      <c r="A11" s="4" t="s">
        <v>59</v>
      </c>
      <c r="B11" s="4" t="s">
        <v>47</v>
      </c>
      <c r="C11" s="4" t="s">
        <v>60</v>
      </c>
      <c r="D11" s="4" t="s">
        <v>61</v>
      </c>
      <c r="E11" s="4" t="s">
        <v>62</v>
      </c>
      <c r="F11" s="4" t="s">
        <v>16</v>
      </c>
      <c r="G11" s="4" t="s">
        <v>17</v>
      </c>
      <c r="H11" s="2">
        <v>6200</v>
      </c>
      <c r="I11" s="2">
        <v>12</v>
      </c>
      <c r="J11" s="4" t="s">
        <v>63</v>
      </c>
      <c r="K11" s="4" t="s">
        <v>33</v>
      </c>
    </row>
    <row r="12" spans="1:11" ht="43.2" x14ac:dyDescent="0.3">
      <c r="A12" s="4" t="s">
        <v>64</v>
      </c>
      <c r="B12" s="4" t="s">
        <v>65</v>
      </c>
      <c r="C12" s="4" t="s">
        <v>66</v>
      </c>
      <c r="D12" s="4" t="s">
        <v>67</v>
      </c>
      <c r="E12" s="4" t="s">
        <v>15</v>
      </c>
      <c r="F12" s="4" t="s">
        <v>24</v>
      </c>
      <c r="G12" s="4" t="s">
        <v>25</v>
      </c>
      <c r="H12" s="2">
        <v>27000</v>
      </c>
      <c r="I12" s="2">
        <v>47</v>
      </c>
      <c r="J12" s="4" t="s">
        <v>26</v>
      </c>
      <c r="K12" s="4" t="s">
        <v>27</v>
      </c>
    </row>
    <row r="13" spans="1:11" ht="43.2" x14ac:dyDescent="0.3">
      <c r="A13" s="4" t="s">
        <v>68</v>
      </c>
      <c r="B13" s="4" t="s">
        <v>65</v>
      </c>
      <c r="C13" s="4" t="s">
        <v>69</v>
      </c>
      <c r="D13" s="4" t="s">
        <v>70</v>
      </c>
      <c r="E13" s="4" t="s">
        <v>71</v>
      </c>
      <c r="F13" s="4" t="s">
        <v>24</v>
      </c>
      <c r="G13" s="4" t="s">
        <v>25</v>
      </c>
      <c r="H13" s="2">
        <v>39000</v>
      </c>
      <c r="I13" s="2">
        <v>55</v>
      </c>
      <c r="J13" s="4" t="s">
        <v>26</v>
      </c>
      <c r="K13" s="4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8704-A301-4AB6-9107-C32898F7546A}">
  <dimension ref="A1:N30"/>
  <sheetViews>
    <sheetView tabSelected="1" zoomScale="69" workbookViewId="0">
      <selection activeCell="D12" sqref="D12"/>
    </sheetView>
  </sheetViews>
  <sheetFormatPr defaultRowHeight="14.4" x14ac:dyDescent="0.3"/>
  <cols>
    <col min="1" max="1" width="99.88671875" bestFit="1" customWidth="1"/>
    <col min="2" max="2" width="18.33203125" bestFit="1" customWidth="1"/>
    <col min="8" max="8" width="23.21875" bestFit="1" customWidth="1"/>
    <col min="9" max="9" width="14.77734375" bestFit="1" customWidth="1"/>
    <col min="13" max="13" width="17.88671875" bestFit="1" customWidth="1"/>
    <col min="14" max="14" width="39.109375" bestFit="1" customWidth="1"/>
  </cols>
  <sheetData>
    <row r="1" spans="1:14" ht="23.4" x14ac:dyDescent="0.45">
      <c r="A1" s="8" t="s">
        <v>76</v>
      </c>
    </row>
    <row r="3" spans="1:14" x14ac:dyDescent="0.3">
      <c r="A3" s="5" t="s">
        <v>72</v>
      </c>
      <c r="B3" t="s">
        <v>74</v>
      </c>
      <c r="H3" s="5" t="s">
        <v>72</v>
      </c>
      <c r="I3" t="s">
        <v>75</v>
      </c>
      <c r="M3" s="5" t="s">
        <v>72</v>
      </c>
      <c r="N3" t="s">
        <v>78</v>
      </c>
    </row>
    <row r="4" spans="1:14" x14ac:dyDescent="0.3">
      <c r="A4" s="6" t="s">
        <v>17</v>
      </c>
      <c r="B4" s="7">
        <v>5</v>
      </c>
      <c r="H4" s="6" t="s">
        <v>66</v>
      </c>
      <c r="I4" s="7">
        <v>1</v>
      </c>
      <c r="M4" s="6" t="s">
        <v>12</v>
      </c>
      <c r="N4" s="7">
        <v>27.333333333333332</v>
      </c>
    </row>
    <row r="5" spans="1:14" x14ac:dyDescent="0.3">
      <c r="A5" s="6" t="s">
        <v>25</v>
      </c>
      <c r="B5" s="7">
        <v>7</v>
      </c>
      <c r="H5" s="6" t="s">
        <v>13</v>
      </c>
      <c r="I5" s="7">
        <v>1</v>
      </c>
      <c r="M5" s="6" t="s">
        <v>35</v>
      </c>
      <c r="N5" s="7">
        <v>39.333333333333336</v>
      </c>
    </row>
    <row r="6" spans="1:14" x14ac:dyDescent="0.3">
      <c r="A6" s="6" t="s">
        <v>73</v>
      </c>
      <c r="B6" s="7">
        <v>12</v>
      </c>
      <c r="H6" s="6" t="s">
        <v>40</v>
      </c>
      <c r="I6" s="7">
        <v>1</v>
      </c>
      <c r="M6" s="6" t="s">
        <v>47</v>
      </c>
      <c r="N6" s="7">
        <v>38.25</v>
      </c>
    </row>
    <row r="7" spans="1:14" x14ac:dyDescent="0.3">
      <c r="H7" s="6" t="s">
        <v>48</v>
      </c>
      <c r="I7" s="7">
        <v>1</v>
      </c>
      <c r="M7" s="6" t="s">
        <v>65</v>
      </c>
      <c r="N7" s="7">
        <v>51</v>
      </c>
    </row>
    <row r="8" spans="1:14" x14ac:dyDescent="0.3">
      <c r="H8" s="6" t="s">
        <v>36</v>
      </c>
      <c r="I8" s="7">
        <v>1</v>
      </c>
      <c r="M8" s="6" t="s">
        <v>73</v>
      </c>
      <c r="N8" s="7">
        <v>37.916666666666664</v>
      </c>
    </row>
    <row r="9" spans="1:14" x14ac:dyDescent="0.3">
      <c r="H9" s="6" t="s">
        <v>57</v>
      </c>
      <c r="I9" s="7">
        <v>1</v>
      </c>
    </row>
    <row r="10" spans="1:14" x14ac:dyDescent="0.3">
      <c r="H10" s="6" t="s">
        <v>43</v>
      </c>
      <c r="I10" s="7">
        <v>1</v>
      </c>
    </row>
    <row r="11" spans="1:14" x14ac:dyDescent="0.3">
      <c r="H11" s="6" t="s">
        <v>21</v>
      </c>
      <c r="I11" s="7">
        <v>1</v>
      </c>
    </row>
    <row r="12" spans="1:14" x14ac:dyDescent="0.3">
      <c r="H12" s="6" t="s">
        <v>69</v>
      </c>
      <c r="I12" s="7">
        <v>1</v>
      </c>
    </row>
    <row r="13" spans="1:14" x14ac:dyDescent="0.3">
      <c r="H13" s="6" t="s">
        <v>29</v>
      </c>
      <c r="I13" s="7">
        <v>1</v>
      </c>
    </row>
    <row r="14" spans="1:14" x14ac:dyDescent="0.3">
      <c r="H14" s="6" t="s">
        <v>52</v>
      </c>
      <c r="I14" s="7">
        <v>1</v>
      </c>
    </row>
    <row r="15" spans="1:14" x14ac:dyDescent="0.3">
      <c r="H15" s="6" t="s">
        <v>60</v>
      </c>
      <c r="I15" s="7">
        <v>1</v>
      </c>
    </row>
    <row r="16" spans="1:14" x14ac:dyDescent="0.3">
      <c r="H16" s="6" t="s">
        <v>73</v>
      </c>
      <c r="I16" s="7">
        <v>12</v>
      </c>
    </row>
    <row r="30" spans="1:1" x14ac:dyDescent="0.3">
      <c r="A30" s="9" t="s">
        <v>77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Alerts_Data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Nenavath,Amulya Sri</dc:creator>
  <cp:lastModifiedBy>Nenavath,Amulya Sri</cp:lastModifiedBy>
  <dcterms:created xsi:type="dcterms:W3CDTF">2026-04-20T02:28:57Z</dcterms:created>
  <dcterms:modified xsi:type="dcterms:W3CDTF">2026-04-20T03:15:30Z</dcterms:modified>
</cp:coreProperties>
</file>